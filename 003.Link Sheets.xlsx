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7C475F0B-F66A-4D3F-B703-B057BCB385E0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 s="1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 s="1"/>
  <c r="C15" i="2" s="1"/>
  <c r="D15" i="2" l="1"/>
  <c r="E15" i="2" s="1"/>
  <c r="F15" i="2" s="1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 s="1"/>
  <c r="C21" i="2" s="1"/>
  <c r="D21" i="2" l="1"/>
  <c r="E21" i="2" s="1"/>
  <c r="F21" i="2" s="1"/>
  <c r="C22" i="2" s="1"/>
  <c r="D22" i="2" l="1"/>
  <c r="E22" i="2" s="1"/>
  <c r="F22" i="2" s="1"/>
  <c r="C23" i="2" s="1"/>
  <c r="D23" i="2" l="1"/>
  <c r="E23" i="2" s="1"/>
  <c r="F23" i="2" s="1"/>
  <c r="C24" i="2" s="1"/>
  <c r="D24" i="2" l="1"/>
  <c r="E24" i="2" s="1"/>
  <c r="F24" i="2" s="1"/>
  <c r="C25" i="2" s="1"/>
  <c r="D25" i="2" l="1"/>
  <c r="E25" i="2" s="1"/>
  <c r="F25" i="2" s="1"/>
  <c r="C26" i="2" s="1"/>
  <c r="D26" i="2" l="1"/>
  <c r="E26" i="2" s="1"/>
  <c r="F26" i="2" s="1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 s="1"/>
  <c r="C32" i="2" s="1"/>
  <c r="D32" i="2" l="1"/>
  <c r="E32" i="2" s="1"/>
  <c r="F32" i="2" s="1"/>
  <c r="C33" i="2" s="1"/>
  <c r="D33" i="2" l="1"/>
  <c r="E33" i="2" s="1"/>
  <c r="F33" i="2" s="1"/>
  <c r="C34" i="2" s="1"/>
  <c r="D34" i="2" l="1"/>
  <c r="E34" i="2" s="1"/>
  <c r="F34" i="2" s="1"/>
  <c r="C35" i="2" s="1"/>
  <c r="D35" i="2" l="1"/>
  <c r="E35" i="2" s="1"/>
  <c r="F35" i="2" s="1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 s="1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 s="1"/>
  <c r="C43" i="2" s="1"/>
  <c r="D43" i="2" l="1"/>
  <c r="E43" i="2" s="1"/>
  <c r="F43" i="2" s="1"/>
  <c r="C44" i="2" s="1"/>
  <c r="D44" i="2" l="1"/>
  <c r="E44" i="2" s="1"/>
  <c r="F44" i="2" s="1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 s="1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 s="1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 s="1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 s="1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 s="1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<sst xmlns="http://schemas.openxmlformats.org/spreadsheetml/2006/main" count="17" uniqueCount="14">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</sst>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3" x14ac:knownFonts="1">
    <font>
      <sz val="10"/>
      <name val="Arial"/>
    </font>
    <font>
      <b/>
      <i/>
      <sz val="14"/>
      <name val="Helv"/>
    </font>
    <font>
      <b/>
      <sz val="10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>
      <selection activeCell="D4" sqref="D4"/>
    </sheetView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20000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444.88895369803549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200" zoomScaleNormal="200" workbookViewId="0">
      <selection activeCell="C9" sqref="C9"/>
    </sheetView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20000</v>
      </c>
      <c r="D9" s="4">
        <f>IF(+B9&lt;='Terms of loan'!$D$5,+C9*('Terms of loan'!$D$4/12),0)</f>
        <v>200</v>
      </c>
      <c r="E9" s="4">
        <f>IF(+B9&lt;='Terms of loan'!$D$5,'Terms of loan'!$F$4-D9,0)</f>
        <v>244.88895369803549</v>
      </c>
      <c r="F9" s="4">
        <f>IF(+B9&lt;='Terms of loan'!$D$5,+C9-E9,0)</f>
        <v>19755.111046301965</v>
      </c>
    </row>
    <row r="10" spans="2:6" x14ac:dyDescent="0.2">
      <c r="B10" s="3">
        <v>2</v>
      </c>
      <c r="C10" s="4">
        <f t="shared" ref="C10:C41" si="0">F9</f>
        <v>19755.111046301965</v>
      </c>
      <c r="D10" s="4">
        <f>IF(+B10&lt;='Terms of loan'!$D$5,+C10*('Terms of loan'!$D$4/12),0)</f>
        <v>197.55111046301965</v>
      </c>
      <c r="E10" s="4">
        <f>IF(+B10&lt;='Terms of loan'!$D$5,'Terms of loan'!$F$4-D10,0)</f>
        <v>247.33784323501584</v>
      </c>
      <c r="F10" s="4">
        <f>IF(+B10&lt;='Terms of loan'!$D$5,+C10-E10,0)</f>
        <v>19507.77320306695</v>
      </c>
    </row>
    <row r="11" spans="2:6" x14ac:dyDescent="0.2">
      <c r="B11" s="3">
        <v>3</v>
      </c>
      <c r="C11" s="4">
        <f t="shared" si="0"/>
        <v>19507.77320306695</v>
      </c>
      <c r="D11" s="4">
        <f>IF(+B11&lt;='Terms of loan'!$D$5,+C11*('Terms of loan'!$D$4/12),0)</f>
        <v>195.07773203066949</v>
      </c>
      <c r="E11" s="4">
        <f>IF(+B11&lt;='Terms of loan'!$D$5,'Terms of loan'!$F$4-D11,0)</f>
        <v>249.811221667366</v>
      </c>
      <c r="F11" s="4">
        <f>IF(+B11&lt;='Terms of loan'!$D$5,+C11-E11,0)</f>
        <v>19257.961981399585</v>
      </c>
    </row>
    <row r="12" spans="2:6" x14ac:dyDescent="0.2">
      <c r="B12" s="3">
        <v>4</v>
      </c>
      <c r="C12" s="4">
        <f t="shared" si="0"/>
        <v>19257.961981399585</v>
      </c>
      <c r="D12" s="4">
        <f>IF(+B12&lt;='Terms of loan'!$D$5,+C12*('Terms of loan'!$D$4/12),0)</f>
        <v>192.57961981399586</v>
      </c>
      <c r="E12" s="4">
        <f>IF(+B12&lt;='Terms of loan'!$D$5,'Terms of loan'!$F$4-D12,0)</f>
        <v>252.30933388403963</v>
      </c>
      <c r="F12" s="4">
        <f>IF(+B12&lt;='Terms of loan'!$D$5,+C12-E12,0)</f>
        <v>19005.652647515544</v>
      </c>
    </row>
    <row r="13" spans="2:6" x14ac:dyDescent="0.2">
      <c r="B13" s="3">
        <v>5</v>
      </c>
      <c r="C13" s="4">
        <f t="shared" si="0"/>
        <v>19005.652647515544</v>
      </c>
      <c r="D13" s="4">
        <f>IF(+B13&lt;='Terms of loan'!$D$5,+C13*('Terms of loan'!$D$4/12),0)</f>
        <v>190.05652647515544</v>
      </c>
      <c r="E13" s="4">
        <f>IF(+B13&lt;='Terms of loan'!$D$5,'Terms of loan'!$F$4-D13,0)</f>
        <v>254.83242722288006</v>
      </c>
      <c r="F13" s="4">
        <f>IF(+B13&lt;='Terms of loan'!$D$5,+C13-E13,0)</f>
        <v>18750.820220292666</v>
      </c>
    </row>
    <row r="14" spans="2:6" x14ac:dyDescent="0.2">
      <c r="B14" s="3">
        <v>6</v>
      </c>
      <c r="C14" s="4">
        <f t="shared" si="0"/>
        <v>18750.820220292666</v>
      </c>
      <c r="D14" s="4">
        <f>IF(+B14&lt;='Terms of loan'!$D$5,+C14*('Terms of loan'!$D$4/12),0)</f>
        <v>187.50820220292667</v>
      </c>
      <c r="E14" s="4">
        <f>IF(+B14&lt;='Terms of loan'!$D$5,'Terms of loan'!$F$4-D14,0)</f>
        <v>257.38075149510883</v>
      </c>
      <c r="F14" s="4">
        <f>IF(+B14&lt;='Terms of loan'!$D$5,+C14-E14,0)</f>
        <v>18493.439468797558</v>
      </c>
    </row>
    <row r="15" spans="2:6" x14ac:dyDescent="0.2">
      <c r="B15" s="3">
        <v>7</v>
      </c>
      <c r="C15" s="4">
        <f t="shared" si="0"/>
        <v>18493.439468797558</v>
      </c>
      <c r="D15" s="4">
        <f>IF(+B15&lt;='Terms of loan'!$D$5,+C15*('Terms of loan'!$D$4/12),0)</f>
        <v>184.93439468797558</v>
      </c>
      <c r="E15" s="4">
        <f>IF(+B15&lt;='Terms of loan'!$D$5,'Terms of loan'!$F$4-D15,0)</f>
        <v>259.95455901005994</v>
      </c>
      <c r="F15" s="4">
        <f>IF(+B15&lt;='Terms of loan'!$D$5,+C15-E15,0)</f>
        <v>18233.484909787498</v>
      </c>
    </row>
    <row r="16" spans="2:6" x14ac:dyDescent="0.2">
      <c r="B16" s="3">
        <v>8</v>
      </c>
      <c r="C16" s="4">
        <f t="shared" si="0"/>
        <v>18233.484909787498</v>
      </c>
      <c r="D16" s="4">
        <f>IF(+B16&lt;='Terms of loan'!$D$5,+C16*('Terms of loan'!$D$4/12),0)</f>
        <v>182.33484909787498</v>
      </c>
      <c r="E16" s="4">
        <f>IF(+B16&lt;='Terms of loan'!$D$5,'Terms of loan'!$F$4-D16,0)</f>
        <v>262.55410460016049</v>
      </c>
      <c r="F16" s="4">
        <f>IF(+B16&lt;='Terms of loan'!$D$5,+C16-E16,0)</f>
        <v>17970.930805187338</v>
      </c>
    </row>
    <row r="17" spans="2:6" x14ac:dyDescent="0.2">
      <c r="B17" s="3">
        <v>9</v>
      </c>
      <c r="C17" s="4">
        <f t="shared" si="0"/>
        <v>17970.930805187338</v>
      </c>
      <c r="D17" s="4">
        <f>IF(+B17&lt;='Terms of loan'!$D$5,+C17*('Terms of loan'!$D$4/12),0)</f>
        <v>179.70930805187339</v>
      </c>
      <c r="E17" s="4">
        <f>IF(+B17&lt;='Terms of loan'!$D$5,'Terms of loan'!$F$4-D17,0)</f>
        <v>265.1796456461621</v>
      </c>
      <c r="F17" s="4">
        <f>IF(+B17&lt;='Terms of loan'!$D$5,+C17-E17,0)</f>
        <v>17705.751159541174</v>
      </c>
    </row>
    <row r="18" spans="2:6" x14ac:dyDescent="0.2">
      <c r="B18" s="3">
        <v>10</v>
      </c>
      <c r="C18" s="4">
        <f t="shared" si="0"/>
        <v>17705.751159541174</v>
      </c>
      <c r="D18" s="4">
        <f>IF(+B18&lt;='Terms of loan'!$D$5,+C18*('Terms of loan'!$D$4/12),0)</f>
        <v>177.05751159541174</v>
      </c>
      <c r="E18" s="4">
        <f>IF(+B18&lt;='Terms of loan'!$D$5,'Terms of loan'!$F$4-D18,0)</f>
        <v>267.83144210262378</v>
      </c>
      <c r="F18" s="4">
        <f>IF(+B18&lt;='Terms of loan'!$D$5,+C18-E18,0)</f>
        <v>17437.919717438552</v>
      </c>
    </row>
    <row r="19" spans="2:6" x14ac:dyDescent="0.2">
      <c r="B19" s="3">
        <v>11</v>
      </c>
      <c r="C19" s="4">
        <f t="shared" si="0"/>
        <v>17437.919717438552</v>
      </c>
      <c r="D19" s="4">
        <f>IF(+B19&lt;='Terms of loan'!$D$5,+C19*('Terms of loan'!$D$4/12),0)</f>
        <v>174.37919717438552</v>
      </c>
      <c r="E19" s="4">
        <f>IF(+B19&lt;='Terms of loan'!$D$5,'Terms of loan'!$F$4-D19,0)</f>
        <v>270.50975652364997</v>
      </c>
      <c r="F19" s="4">
        <f>IF(+B19&lt;='Terms of loan'!$D$5,+C19-E19,0)</f>
        <v>17167.409960914902</v>
      </c>
    </row>
    <row r="20" spans="2:6" x14ac:dyDescent="0.2">
      <c r="B20" s="3">
        <v>12</v>
      </c>
      <c r="C20" s="4">
        <f t="shared" si="0"/>
        <v>17167.409960914902</v>
      </c>
      <c r="D20" s="4">
        <f>IF(+B20&lt;='Terms of loan'!$D$5,+C20*('Terms of loan'!$D$4/12),0)</f>
        <v>171.67409960914901</v>
      </c>
      <c r="E20" s="4">
        <f>IF(+B20&lt;='Terms of loan'!$D$5,'Terms of loan'!$F$4-D20,0)</f>
        <v>273.21485408888645</v>
      </c>
      <c r="F20" s="4">
        <f>IF(+B20&lt;='Terms of loan'!$D$5,+C20-E20,0)</f>
        <v>16894.195106826017</v>
      </c>
    </row>
    <row r="21" spans="2:6" x14ac:dyDescent="0.2">
      <c r="B21" s="3">
        <v>13</v>
      </c>
      <c r="C21" s="4">
        <f t="shared" si="0"/>
        <v>16894.195106826017</v>
      </c>
      <c r="D21" s="4">
        <f>IF(+B21&lt;='Terms of loan'!$D$5,+C21*('Terms of loan'!$D$4/12),0)</f>
        <v>168.94195106826018</v>
      </c>
      <c r="E21" s="4">
        <f>IF(+B21&lt;='Terms of loan'!$D$5,'Terms of loan'!$F$4-D21,0)</f>
        <v>275.94700262977528</v>
      </c>
      <c r="F21" s="4">
        <f>IF(+B21&lt;='Terms of loan'!$D$5,+C21-E21,0)</f>
        <v>16618.248104196242</v>
      </c>
    </row>
    <row r="22" spans="2:6" x14ac:dyDescent="0.2">
      <c r="B22" s="3">
        <v>14</v>
      </c>
      <c r="C22" s="4">
        <f t="shared" si="0"/>
        <v>16618.248104196242</v>
      </c>
      <c r="D22" s="4">
        <f>IF(+B22&lt;='Terms of loan'!$D$5,+C22*('Terms of loan'!$D$4/12),0)</f>
        <v>166.18248104196243</v>
      </c>
      <c r="E22" s="4">
        <f>IF(+B22&lt;='Terms of loan'!$D$5,'Terms of loan'!$F$4-D22,0)</f>
        <v>278.70647265607306</v>
      </c>
      <c r="F22" s="4">
        <f>IF(+B22&lt;='Terms of loan'!$D$5,+C22-E22,0)</f>
        <v>16339.541631540169</v>
      </c>
    </row>
    <row r="23" spans="2:6" x14ac:dyDescent="0.2">
      <c r="B23" s="3">
        <v>15</v>
      </c>
      <c r="C23" s="4">
        <f t="shared" si="0"/>
        <v>16339.541631540169</v>
      </c>
      <c r="D23" s="4">
        <f>IF(+B23&lt;='Terms of loan'!$D$5,+C23*('Terms of loan'!$D$4/12),0)</f>
        <v>163.39541631540169</v>
      </c>
      <c r="E23" s="4">
        <f>IF(+B23&lt;='Terms of loan'!$D$5,'Terms of loan'!$F$4-D23,0)</f>
        <v>281.4935373826338</v>
      </c>
      <c r="F23" s="4">
        <f>IF(+B23&lt;='Terms of loan'!$D$5,+C23-E23,0)</f>
        <v>16058.048094157535</v>
      </c>
    </row>
    <row r="24" spans="2:6" x14ac:dyDescent="0.2">
      <c r="B24" s="3">
        <v>16</v>
      </c>
      <c r="C24" s="4">
        <f t="shared" si="0"/>
        <v>16058.048094157535</v>
      </c>
      <c r="D24" s="4">
        <f>IF(+B24&lt;='Terms of loan'!$D$5,+C24*('Terms of loan'!$D$4/12),0)</f>
        <v>160.58048094157536</v>
      </c>
      <c r="E24" s="4">
        <f>IF(+B24&lt;='Terms of loan'!$D$5,'Terms of loan'!$F$4-D24,0)</f>
        <v>284.30847275646011</v>
      </c>
      <c r="F24" s="4">
        <f>IF(+B24&lt;='Terms of loan'!$D$5,+C24-E24,0)</f>
        <v>15773.739621401075</v>
      </c>
    </row>
    <row r="25" spans="2:6" x14ac:dyDescent="0.2">
      <c r="B25" s="3">
        <v>17</v>
      </c>
      <c r="C25" s="4">
        <f t="shared" si="0"/>
        <v>15773.739621401075</v>
      </c>
      <c r="D25" s="4">
        <f>IF(+B25&lt;='Terms of loan'!$D$5,+C25*('Terms of loan'!$D$4/12),0)</f>
        <v>157.73739621401074</v>
      </c>
      <c r="E25" s="4">
        <f>IF(+B25&lt;='Terms of loan'!$D$5,'Terms of loan'!$F$4-D25,0)</f>
        <v>287.15155748402475</v>
      </c>
      <c r="F25" s="4">
        <f>IF(+B25&lt;='Terms of loan'!$D$5,+C25-E25,0)</f>
        <v>15486.58806391705</v>
      </c>
    </row>
    <row r="26" spans="2:6" x14ac:dyDescent="0.2">
      <c r="B26" s="3">
        <v>18</v>
      </c>
      <c r="C26" s="4">
        <f t="shared" si="0"/>
        <v>15486.58806391705</v>
      </c>
      <c r="D26" s="4">
        <f>IF(+B26&lt;='Terms of loan'!$D$5,+C26*('Terms of loan'!$D$4/12),0)</f>
        <v>154.86588063917051</v>
      </c>
      <c r="E26" s="4">
        <f>IF(+B26&lt;='Terms of loan'!$D$5,'Terms of loan'!$F$4-D26,0)</f>
        <v>290.02307305886495</v>
      </c>
      <c r="F26" s="4">
        <f>IF(+B26&lt;='Terms of loan'!$D$5,+C26-E26,0)</f>
        <v>15196.564990858185</v>
      </c>
    </row>
    <row r="27" spans="2:6" x14ac:dyDescent="0.2">
      <c r="B27" s="3">
        <v>19</v>
      </c>
      <c r="C27" s="4">
        <f t="shared" si="0"/>
        <v>15196.564990858185</v>
      </c>
      <c r="D27" s="4">
        <f>IF(+B27&lt;='Terms of loan'!$D$5,+C27*('Terms of loan'!$D$4/12),0)</f>
        <v>151.96564990858187</v>
      </c>
      <c r="E27" s="4">
        <f>IF(+B27&lt;='Terms of loan'!$D$5,'Terms of loan'!$F$4-D27,0)</f>
        <v>292.9233037894536</v>
      </c>
      <c r="F27" s="4">
        <f>IF(+B27&lt;='Terms of loan'!$D$5,+C27-E27,0)</f>
        <v>14903.641687068732</v>
      </c>
    </row>
    <row r="28" spans="2:6" x14ac:dyDescent="0.2">
      <c r="B28" s="3">
        <v>20</v>
      </c>
      <c r="C28" s="4">
        <f t="shared" si="0"/>
        <v>14903.641687068732</v>
      </c>
      <c r="D28" s="4">
        <f>IF(+B28&lt;='Terms of loan'!$D$5,+C28*('Terms of loan'!$D$4/12),0)</f>
        <v>149.03641687068733</v>
      </c>
      <c r="E28" s="4">
        <f>IF(+B28&lt;='Terms of loan'!$D$5,'Terms of loan'!$F$4-D28,0)</f>
        <v>295.85253682734816</v>
      </c>
      <c r="F28" s="4">
        <f>IF(+B28&lt;='Terms of loan'!$D$5,+C28-E28,0)</f>
        <v>14607.789150241384</v>
      </c>
    </row>
    <row r="29" spans="2:6" x14ac:dyDescent="0.2">
      <c r="B29" s="3">
        <v>21</v>
      </c>
      <c r="C29" s="4">
        <f t="shared" si="0"/>
        <v>14607.789150241384</v>
      </c>
      <c r="D29" s="4">
        <f>IF(+B29&lt;='Terms of loan'!$D$5,+C29*('Terms of loan'!$D$4/12),0)</f>
        <v>146.07789150241385</v>
      </c>
      <c r="E29" s="4">
        <f>IF(+B29&lt;='Terms of loan'!$D$5,'Terms of loan'!$F$4-D29,0)</f>
        <v>298.81106219562162</v>
      </c>
      <c r="F29" s="4">
        <f>IF(+B29&lt;='Terms of loan'!$D$5,+C29-E29,0)</f>
        <v>14308.978088045762</v>
      </c>
    </row>
    <row r="30" spans="2:6" x14ac:dyDescent="0.2">
      <c r="B30" s="3">
        <v>22</v>
      </c>
      <c r="C30" s="4">
        <f t="shared" si="0"/>
        <v>14308.978088045762</v>
      </c>
      <c r="D30" s="4">
        <f>IF(+B30&lt;='Terms of loan'!$D$5,+C30*('Terms of loan'!$D$4/12),0)</f>
        <v>143.08978088045762</v>
      </c>
      <c r="E30" s="4">
        <f>IF(+B30&lt;='Terms of loan'!$D$5,'Terms of loan'!$F$4-D30,0)</f>
        <v>301.79917281757787</v>
      </c>
      <c r="F30" s="4">
        <f>IF(+B30&lt;='Terms of loan'!$D$5,+C30-E30,0)</f>
        <v>14007.178915228184</v>
      </c>
    </row>
    <row r="31" spans="2:6" x14ac:dyDescent="0.2">
      <c r="B31" s="3">
        <v>23</v>
      </c>
      <c r="C31" s="4">
        <f t="shared" si="0"/>
        <v>14007.178915228184</v>
      </c>
      <c r="D31" s="4">
        <f>IF(+B31&lt;='Terms of loan'!$D$5,+C31*('Terms of loan'!$D$4/12),0)</f>
        <v>140.07178915228184</v>
      </c>
      <c r="E31" s="4">
        <f>IF(+B31&lt;='Terms of loan'!$D$5,'Terms of loan'!$F$4-D31,0)</f>
        <v>304.81716454575366</v>
      </c>
      <c r="F31" s="4">
        <f>IF(+B31&lt;='Terms of loan'!$D$5,+C31-E31,0)</f>
        <v>13702.36175068243</v>
      </c>
    </row>
    <row r="32" spans="2:6" x14ac:dyDescent="0.2">
      <c r="B32" s="3">
        <v>24</v>
      </c>
      <c r="C32" s="4">
        <f t="shared" si="0"/>
        <v>13702.36175068243</v>
      </c>
      <c r="D32" s="4">
        <f>IF(+B32&lt;='Terms of loan'!$D$5,+C32*('Terms of loan'!$D$4/12),0)</f>
        <v>137.02361750682431</v>
      </c>
      <c r="E32" s="4">
        <f>IF(+B32&lt;='Terms of loan'!$D$5,'Terms of loan'!$F$4-D32,0)</f>
        <v>307.86533619121121</v>
      </c>
      <c r="F32" s="4">
        <f>IF(+B32&lt;='Terms of loan'!$D$5,+C32-E32,0)</f>
        <v>13394.496414491219</v>
      </c>
    </row>
    <row r="33" spans="2:6" x14ac:dyDescent="0.2">
      <c r="B33" s="3">
        <v>25</v>
      </c>
      <c r="C33" s="4">
        <f t="shared" si="0"/>
        <v>13394.496414491219</v>
      </c>
      <c r="D33" s="4">
        <f>IF(+B33&lt;='Terms of loan'!$D$5,+C33*('Terms of loan'!$D$4/12),0)</f>
        <v>133.94496414491221</v>
      </c>
      <c r="E33" s="4">
        <f>IF(+B33&lt;='Terms of loan'!$D$5,'Terms of loan'!$F$4-D33,0)</f>
        <v>310.94398955312329</v>
      </c>
      <c r="F33" s="4">
        <f>IF(+B33&lt;='Terms of loan'!$D$5,+C33-E33,0)</f>
        <v>13083.552424938096</v>
      </c>
    </row>
    <row r="34" spans="2:6" x14ac:dyDescent="0.2">
      <c r="B34" s="3">
        <v>26</v>
      </c>
      <c r="C34" s="4">
        <f t="shared" si="0"/>
        <v>13083.552424938096</v>
      </c>
      <c r="D34" s="4">
        <f>IF(+B34&lt;='Terms of loan'!$D$5,+C34*('Terms of loan'!$D$4/12),0)</f>
        <v>130.83552424938097</v>
      </c>
      <c r="E34" s="4">
        <f>IF(+B34&lt;='Terms of loan'!$D$5,'Terms of loan'!$F$4-D34,0)</f>
        <v>314.05342944865453</v>
      </c>
      <c r="F34" s="4">
        <f>IF(+B34&lt;='Terms of loan'!$D$5,+C34-E34,0)</f>
        <v>12769.498995489441</v>
      </c>
    </row>
    <row r="35" spans="2:6" x14ac:dyDescent="0.2">
      <c r="B35" s="3">
        <v>27</v>
      </c>
      <c r="C35" s="4">
        <f t="shared" si="0"/>
        <v>12769.498995489441</v>
      </c>
      <c r="D35" s="4">
        <f>IF(+B35&lt;='Terms of loan'!$D$5,+C35*('Terms of loan'!$D$4/12),0)</f>
        <v>127.69498995489441</v>
      </c>
      <c r="E35" s="4">
        <f>IF(+B35&lt;='Terms of loan'!$D$5,'Terms of loan'!$F$4-D35,0)</f>
        <v>317.19396374314107</v>
      </c>
      <c r="F35" s="4">
        <f>IF(+B35&lt;='Terms of loan'!$D$5,+C35-E35,0)</f>
        <v>12452.3050317463</v>
      </c>
    </row>
    <row r="36" spans="2:6" x14ac:dyDescent="0.2">
      <c r="B36" s="3">
        <v>28</v>
      </c>
      <c r="C36" s="4">
        <f t="shared" si="0"/>
        <v>12452.3050317463</v>
      </c>
      <c r="D36" s="4">
        <f>IF(+B36&lt;='Terms of loan'!$D$5,+C36*('Terms of loan'!$D$4/12),0)</f>
        <v>124.523050317463</v>
      </c>
      <c r="E36" s="4">
        <f>IF(+B36&lt;='Terms of loan'!$D$5,'Terms of loan'!$F$4-D36,0)</f>
        <v>320.36590338057249</v>
      </c>
      <c r="F36" s="4">
        <f>IF(+B36&lt;='Terms of loan'!$D$5,+C36-E36,0)</f>
        <v>12131.939128365728</v>
      </c>
    </row>
    <row r="37" spans="2:6" x14ac:dyDescent="0.2">
      <c r="B37" s="3">
        <v>29</v>
      </c>
      <c r="C37" s="4">
        <f t="shared" si="0"/>
        <v>12131.939128365728</v>
      </c>
      <c r="D37" s="4">
        <f>IF(+B37&lt;='Terms of loan'!$D$5,+C37*('Terms of loan'!$D$4/12),0)</f>
        <v>121.31939128365728</v>
      </c>
      <c r="E37" s="4">
        <f>IF(+B37&lt;='Terms of loan'!$D$5,'Terms of loan'!$F$4-D37,0)</f>
        <v>323.5695624143782</v>
      </c>
      <c r="F37" s="4">
        <f>IF(+B37&lt;='Terms of loan'!$D$5,+C37-E37,0)</f>
        <v>11808.369565951351</v>
      </c>
    </row>
    <row r="38" spans="2:6" x14ac:dyDescent="0.2">
      <c r="B38" s="3">
        <v>30</v>
      </c>
      <c r="C38" s="4">
        <f t="shared" si="0"/>
        <v>11808.369565951351</v>
      </c>
      <c r="D38" s="4">
        <f>IF(+B38&lt;='Terms of loan'!$D$5,+C38*('Terms of loan'!$D$4/12),0)</f>
        <v>118.08369565951351</v>
      </c>
      <c r="E38" s="4">
        <f>IF(+B38&lt;='Terms of loan'!$D$5,'Terms of loan'!$F$4-D38,0)</f>
        <v>326.80525803852197</v>
      </c>
      <c r="F38" s="4">
        <f>IF(+B38&lt;='Terms of loan'!$D$5,+C38-E38,0)</f>
        <v>11481.564307912828</v>
      </c>
    </row>
    <row r="39" spans="2:6" x14ac:dyDescent="0.2">
      <c r="B39" s="3">
        <v>31</v>
      </c>
      <c r="C39" s="4">
        <f t="shared" si="0"/>
        <v>11481.564307912828</v>
      </c>
      <c r="D39" s="4">
        <f>IF(+B39&lt;='Terms of loan'!$D$5,+C39*('Terms of loan'!$D$4/12),0)</f>
        <v>114.81564307912828</v>
      </c>
      <c r="E39" s="4">
        <f>IF(+B39&lt;='Terms of loan'!$D$5,'Terms of loan'!$F$4-D39,0)</f>
        <v>330.07331061890721</v>
      </c>
      <c r="F39" s="4">
        <f>IF(+B39&lt;='Terms of loan'!$D$5,+C39-E39,0)</f>
        <v>11151.49099729392</v>
      </c>
    </row>
    <row r="40" spans="2:6" x14ac:dyDescent="0.2">
      <c r="B40" s="3">
        <v>32</v>
      </c>
      <c r="C40" s="4">
        <f t="shared" si="0"/>
        <v>11151.49099729392</v>
      </c>
      <c r="D40" s="4">
        <f>IF(+B40&lt;='Terms of loan'!$D$5,+C40*('Terms of loan'!$D$4/12),0)</f>
        <v>111.51490997293921</v>
      </c>
      <c r="E40" s="4">
        <f>IF(+B40&lt;='Terms of loan'!$D$5,'Terms of loan'!$F$4-D40,0)</f>
        <v>333.37404372509627</v>
      </c>
      <c r="F40" s="4">
        <f>IF(+B40&lt;='Terms of loan'!$D$5,+C40-E40,0)</f>
        <v>10818.116953568824</v>
      </c>
    </row>
    <row r="41" spans="2:6" x14ac:dyDescent="0.2">
      <c r="B41" s="3">
        <v>33</v>
      </c>
      <c r="C41" s="4">
        <f t="shared" si="0"/>
        <v>10818.116953568824</v>
      </c>
      <c r="D41" s="4">
        <f>IF(+B41&lt;='Terms of loan'!$D$5,+C41*('Terms of loan'!$D$4/12),0)</f>
        <v>108.18116953568824</v>
      </c>
      <c r="E41" s="4">
        <f>IF(+B41&lt;='Terms of loan'!$D$5,'Terms of loan'!$F$4-D41,0)</f>
        <v>336.70778416234725</v>
      </c>
      <c r="F41" s="4">
        <f>IF(+B41&lt;='Terms of loan'!$D$5,+C41-E41,0)</f>
        <v>10481.409169406477</v>
      </c>
    </row>
    <row r="42" spans="2:6" x14ac:dyDescent="0.2">
      <c r="B42" s="3">
        <v>34</v>
      </c>
      <c r="C42" s="4">
        <f t="shared" ref="C42:C68" si="1">F41</f>
        <v>10481.409169406477</v>
      </c>
      <c r="D42" s="4">
        <f>IF(+B42&lt;='Terms of loan'!$D$5,+C42*('Terms of loan'!$D$4/12),0)</f>
        <v>104.81409169406477</v>
      </c>
      <c r="E42" s="4">
        <f>IF(+B42&lt;='Terms of loan'!$D$5,'Terms of loan'!$F$4-D42,0)</f>
        <v>340.07486200397074</v>
      </c>
      <c r="F42" s="4">
        <f>IF(+B42&lt;='Terms of loan'!$D$5,+C42-E42,0)</f>
        <v>10141.334307402507</v>
      </c>
    </row>
    <row r="43" spans="2:6" x14ac:dyDescent="0.2">
      <c r="B43" s="3">
        <v>35</v>
      </c>
      <c r="C43" s="4">
        <f t="shared" si="1"/>
        <v>10141.334307402507</v>
      </c>
      <c r="D43" s="4">
        <f>IF(+B43&lt;='Terms of loan'!$D$5,+C43*('Terms of loan'!$D$4/12),0)</f>
        <v>101.41334307402508</v>
      </c>
      <c r="E43" s="4">
        <f>IF(+B43&lt;='Terms of loan'!$D$5,'Terms of loan'!$F$4-D43,0)</f>
        <v>343.47561062401041</v>
      </c>
      <c r="F43" s="4">
        <f>IF(+B43&lt;='Terms of loan'!$D$5,+C43-E43,0)</f>
        <v>9797.8586967784959</v>
      </c>
    </row>
    <row r="44" spans="2:6" x14ac:dyDescent="0.2">
      <c r="B44" s="3">
        <v>36</v>
      </c>
      <c r="C44" s="4">
        <f t="shared" si="1"/>
        <v>9797.8586967784959</v>
      </c>
      <c r="D44" s="4">
        <f>IF(+B44&lt;='Terms of loan'!$D$5,+C44*('Terms of loan'!$D$4/12),0)</f>
        <v>97.978586967784963</v>
      </c>
      <c r="E44" s="4">
        <f>IF(+B44&lt;='Terms of loan'!$D$5,'Terms of loan'!$F$4-D44,0)</f>
        <v>346.91036673025053</v>
      </c>
      <c r="F44" s="4">
        <f>IF(+B44&lt;='Terms of loan'!$D$5,+C44-E44,0)</f>
        <v>9450.9483300482461</v>
      </c>
    </row>
    <row r="45" spans="2:6" x14ac:dyDescent="0.2">
      <c r="B45" s="3">
        <v>37</v>
      </c>
      <c r="C45" s="4">
        <f t="shared" si="1"/>
        <v>9450.9483300482461</v>
      </c>
      <c r="D45" s="4">
        <f>IF(+B45&lt;='Terms of loan'!$D$5,+C45*('Terms of loan'!$D$4/12),0)</f>
        <v>94.509483300482458</v>
      </c>
      <c r="E45" s="4">
        <f>IF(+B45&lt;='Terms of loan'!$D$5,'Terms of loan'!$F$4-D45,0)</f>
        <v>350.37947039755306</v>
      </c>
      <c r="F45" s="4">
        <f>IF(+B45&lt;='Terms of loan'!$D$5,+C45-E45,0)</f>
        <v>9100.5688596506934</v>
      </c>
    </row>
    <row r="46" spans="2:6" x14ac:dyDescent="0.2">
      <c r="B46" s="3">
        <v>38</v>
      </c>
      <c r="C46" s="4">
        <f t="shared" si="1"/>
        <v>9100.5688596506934</v>
      </c>
      <c r="D46" s="4">
        <f>IF(+B46&lt;='Terms of loan'!$D$5,+C46*('Terms of loan'!$D$4/12),0)</f>
        <v>91.005688596506943</v>
      </c>
      <c r="E46" s="4">
        <f>IF(+B46&lt;='Terms of loan'!$D$5,'Terms of loan'!$F$4-D46,0)</f>
        <v>353.88326510152854</v>
      </c>
      <c r="F46" s="4">
        <f>IF(+B46&lt;='Terms of loan'!$D$5,+C46-E46,0)</f>
        <v>8746.6855945491643</v>
      </c>
    </row>
    <row r="47" spans="2:6" x14ac:dyDescent="0.2">
      <c r="B47" s="3">
        <v>39</v>
      </c>
      <c r="C47" s="4">
        <f t="shared" si="1"/>
        <v>8746.6855945491643</v>
      </c>
      <c r="D47" s="4">
        <f>IF(+B47&lt;='Terms of loan'!$D$5,+C47*('Terms of loan'!$D$4/12),0)</f>
        <v>87.466855945491645</v>
      </c>
      <c r="E47" s="4">
        <f>IF(+B47&lt;='Terms of loan'!$D$5,'Terms of loan'!$F$4-D47,0)</f>
        <v>357.42209775254383</v>
      </c>
      <c r="F47" s="4">
        <f>IF(+B47&lt;='Terms of loan'!$D$5,+C47-E47,0)</f>
        <v>8389.2634967966205</v>
      </c>
    </row>
    <row r="48" spans="2:6" x14ac:dyDescent="0.2">
      <c r="B48" s="3">
        <v>40</v>
      </c>
      <c r="C48" s="4">
        <f t="shared" si="1"/>
        <v>8389.2634967966205</v>
      </c>
      <c r="D48" s="4">
        <f>IF(+B48&lt;='Terms of loan'!$D$5,+C48*('Terms of loan'!$D$4/12),0)</f>
        <v>83.892634967966202</v>
      </c>
      <c r="E48" s="4">
        <f>IF(+B48&lt;='Terms of loan'!$D$5,'Terms of loan'!$F$4-D48,0)</f>
        <v>360.99631873006928</v>
      </c>
      <c r="F48" s="4">
        <f>IF(+B48&lt;='Terms of loan'!$D$5,+C48-E48,0)</f>
        <v>8028.2671780665514</v>
      </c>
    </row>
    <row r="49" spans="2:6" x14ac:dyDescent="0.2">
      <c r="B49" s="3">
        <v>41</v>
      </c>
      <c r="C49" s="4">
        <f t="shared" si="1"/>
        <v>8028.2671780665514</v>
      </c>
      <c r="D49" s="4">
        <f>IF(+B49&lt;='Terms of loan'!$D$5,+C49*('Terms of loan'!$D$4/12),0)</f>
        <v>80.28267178066551</v>
      </c>
      <c r="E49" s="4">
        <f>IF(+B49&lt;='Terms of loan'!$D$5,'Terms of loan'!$F$4-D49,0)</f>
        <v>364.60628191736998</v>
      </c>
      <c r="F49" s="4">
        <f>IF(+B49&lt;='Terms of loan'!$D$5,+C49-E49,0)</f>
        <v>7663.6608961491811</v>
      </c>
    </row>
    <row r="50" spans="2:6" x14ac:dyDescent="0.2">
      <c r="B50" s="3">
        <v>42</v>
      </c>
      <c r="C50" s="4">
        <f t="shared" si="1"/>
        <v>7663.6608961491811</v>
      </c>
      <c r="D50" s="4">
        <f>IF(+B50&lt;='Terms of loan'!$D$5,+C50*('Terms of loan'!$D$4/12),0)</f>
        <v>76.636608961491817</v>
      </c>
      <c r="E50" s="4">
        <f>IF(+B50&lt;='Terms of loan'!$D$5,'Terms of loan'!$F$4-D50,0)</f>
        <v>368.25234473654371</v>
      </c>
      <c r="F50" s="4">
        <f>IF(+B50&lt;='Terms of loan'!$D$5,+C50-E50,0)</f>
        <v>7295.4085514126373</v>
      </c>
    </row>
    <row r="51" spans="2:6" x14ac:dyDescent="0.2">
      <c r="B51" s="3">
        <v>43</v>
      </c>
      <c r="C51" s="4">
        <f t="shared" si="1"/>
        <v>7295.4085514126373</v>
      </c>
      <c r="D51" s="4">
        <f>IF(+B51&lt;='Terms of loan'!$D$5,+C51*('Terms of loan'!$D$4/12),0)</f>
        <v>72.954085514126376</v>
      </c>
      <c r="E51" s="4">
        <f>IF(+B51&lt;='Terms of loan'!$D$5,'Terms of loan'!$F$4-D51,0)</f>
        <v>371.93486818390909</v>
      </c>
      <c r="F51" s="4">
        <f>IF(+B51&lt;='Terms of loan'!$D$5,+C51-E51,0)</f>
        <v>6923.4736832287281</v>
      </c>
    </row>
    <row r="52" spans="2:6" x14ac:dyDescent="0.2">
      <c r="B52" s="3">
        <v>44</v>
      </c>
      <c r="C52" s="4">
        <f t="shared" si="1"/>
        <v>6923.4736832287281</v>
      </c>
      <c r="D52" s="4">
        <f>IF(+B52&lt;='Terms of loan'!$D$5,+C52*('Terms of loan'!$D$4/12),0)</f>
        <v>69.234736832287282</v>
      </c>
      <c r="E52" s="4">
        <f>IF(+B52&lt;='Terms of loan'!$D$5,'Terms of loan'!$F$4-D52,0)</f>
        <v>375.6542168657482</v>
      </c>
      <c r="F52" s="4">
        <f>IF(+B52&lt;='Terms of loan'!$D$5,+C52-E52,0)</f>
        <v>6547.8194663629802</v>
      </c>
    </row>
    <row r="53" spans="2:6" x14ac:dyDescent="0.2">
      <c r="B53" s="3">
        <v>45</v>
      </c>
      <c r="C53" s="4">
        <f t="shared" si="1"/>
        <v>6547.8194663629802</v>
      </c>
      <c r="D53" s="4">
        <f>IF(+B53&lt;='Terms of loan'!$D$5,+C53*('Terms of loan'!$D$4/12),0)</f>
        <v>65.478194663629807</v>
      </c>
      <c r="E53" s="4">
        <f>IF(+B53&lt;='Terms of loan'!$D$5,'Terms of loan'!$F$4-D53,0)</f>
        <v>379.41075903440571</v>
      </c>
      <c r="F53" s="4">
        <f>IF(+B53&lt;='Terms of loan'!$D$5,+C53-E53,0)</f>
        <v>6168.4087073285746</v>
      </c>
    </row>
    <row r="54" spans="2:6" x14ac:dyDescent="0.2">
      <c r="B54" s="3">
        <v>46</v>
      </c>
      <c r="C54" s="4">
        <f t="shared" si="1"/>
        <v>6168.4087073285746</v>
      </c>
      <c r="D54" s="4">
        <f>IF(+B54&lt;='Terms of loan'!$D$5,+C54*('Terms of loan'!$D$4/12),0)</f>
        <v>61.684087073285745</v>
      </c>
      <c r="E54" s="4">
        <f>IF(+B54&lt;='Terms of loan'!$D$5,'Terms of loan'!$F$4-D54,0)</f>
        <v>383.20486662474974</v>
      </c>
      <c r="F54" s="4">
        <f>IF(+B54&lt;='Terms of loan'!$D$5,+C54-E54,0)</f>
        <v>5785.2038407038244</v>
      </c>
    </row>
    <row r="55" spans="2:6" x14ac:dyDescent="0.2">
      <c r="B55" s="3">
        <v>47</v>
      </c>
      <c r="C55" s="4">
        <f t="shared" si="1"/>
        <v>5785.2038407038244</v>
      </c>
      <c r="D55" s="4">
        <f>IF(+B55&lt;='Terms of loan'!$D$5,+C55*('Terms of loan'!$D$4/12),0)</f>
        <v>57.852038407038243</v>
      </c>
      <c r="E55" s="4">
        <f>IF(+B55&lt;='Terms of loan'!$D$5,'Terms of loan'!$F$4-D55,0)</f>
        <v>387.03691529099723</v>
      </c>
      <c r="F55" s="4">
        <f>IF(+B55&lt;='Terms of loan'!$D$5,+C55-E55,0)</f>
        <v>5398.1669254128274</v>
      </c>
    </row>
    <row r="56" spans="2:6" x14ac:dyDescent="0.2">
      <c r="B56" s="3">
        <v>48</v>
      </c>
      <c r="C56" s="4">
        <f t="shared" si="1"/>
        <v>5398.1669254128274</v>
      </c>
      <c r="D56" s="4">
        <f>IF(+B56&lt;='Terms of loan'!$D$5,+C56*('Terms of loan'!$D$4/12),0)</f>
        <v>53.981669254128278</v>
      </c>
      <c r="E56" s="4">
        <f>IF(+B56&lt;='Terms of loan'!$D$5,'Terms of loan'!$F$4-D56,0)</f>
        <v>390.9072844439072</v>
      </c>
      <c r="F56" s="4">
        <f>IF(+B56&lt;='Terms of loan'!$D$5,+C56-E56,0)</f>
        <v>5007.2596409689204</v>
      </c>
    </row>
    <row r="57" spans="2:6" x14ac:dyDescent="0.2">
      <c r="B57" s="3">
        <v>49</v>
      </c>
      <c r="C57" s="4">
        <f t="shared" si="1"/>
        <v>5007.2596409689204</v>
      </c>
      <c r="D57" s="4">
        <f>IF(+B57&lt;='Terms of loan'!$D$5,+C57*('Terms of loan'!$D$4/12),0)</f>
        <v>50.072596409689204</v>
      </c>
      <c r="E57" s="4">
        <f>IF(+B57&lt;='Terms of loan'!$D$5,'Terms of loan'!$F$4-D57,0)</f>
        <v>394.8163572883463</v>
      </c>
      <c r="F57" s="4">
        <f>IF(+B57&lt;='Terms of loan'!$D$5,+C57-E57,0)</f>
        <v>4612.4432836805745</v>
      </c>
    </row>
    <row r="58" spans="2:6" x14ac:dyDescent="0.2">
      <c r="B58" s="3">
        <v>50</v>
      </c>
      <c r="C58" s="4">
        <f t="shared" si="1"/>
        <v>4612.4432836805745</v>
      </c>
      <c r="D58" s="4">
        <f>IF(+B58&lt;='Terms of loan'!$D$5,+C58*('Terms of loan'!$D$4/12),0)</f>
        <v>46.124432836805745</v>
      </c>
      <c r="E58" s="4">
        <f>IF(+B58&lt;='Terms of loan'!$D$5,'Terms of loan'!$F$4-D58,0)</f>
        <v>398.76452086122976</v>
      </c>
      <c r="F58" s="4">
        <f>IF(+B58&lt;='Terms of loan'!$D$5,+C58-E58,0)</f>
        <v>4213.6787628193451</v>
      </c>
    </row>
    <row r="59" spans="2:6" x14ac:dyDescent="0.2">
      <c r="B59" s="3">
        <v>51</v>
      </c>
      <c r="C59" s="4">
        <f t="shared" si="1"/>
        <v>4213.6787628193451</v>
      </c>
      <c r="D59" s="4">
        <f>IF(+B59&lt;='Terms of loan'!$D$5,+C59*('Terms of loan'!$D$4/12),0)</f>
        <v>42.136787628193453</v>
      </c>
      <c r="E59" s="4">
        <f>IF(+B59&lt;='Terms of loan'!$D$5,'Terms of loan'!$F$4-D59,0)</f>
        <v>402.75216606984202</v>
      </c>
      <c r="F59" s="4">
        <f>IF(+B59&lt;='Terms of loan'!$D$5,+C59-E59,0)</f>
        <v>3810.926596749503</v>
      </c>
    </row>
    <row r="60" spans="2:6" x14ac:dyDescent="0.2">
      <c r="B60" s="3">
        <v>52</v>
      </c>
      <c r="C60" s="4">
        <f t="shared" si="1"/>
        <v>3810.926596749503</v>
      </c>
      <c r="D60" s="4">
        <f>IF(+B60&lt;='Terms of loan'!$D$5,+C60*('Terms of loan'!$D$4/12),0)</f>
        <v>38.109265967495034</v>
      </c>
      <c r="E60" s="4">
        <f>IF(+B60&lt;='Terms of loan'!$D$5,'Terms of loan'!$F$4-D60,0)</f>
        <v>406.77968773054045</v>
      </c>
      <c r="F60" s="4">
        <f>IF(+B60&lt;='Terms of loan'!$D$5,+C60-E60,0)</f>
        <v>3404.1469090189626</v>
      </c>
    </row>
    <row r="61" spans="2:6" x14ac:dyDescent="0.2">
      <c r="B61" s="3">
        <v>53</v>
      </c>
      <c r="C61" s="4">
        <f t="shared" si="1"/>
        <v>3404.1469090189626</v>
      </c>
      <c r="D61" s="4">
        <f>IF(+B61&lt;='Terms of loan'!$D$5,+C61*('Terms of loan'!$D$4/12),0)</f>
        <v>34.041469090189629</v>
      </c>
      <c r="E61" s="4">
        <f>IF(+B61&lt;='Terms of loan'!$D$5,'Terms of loan'!$F$4-D61,0)</f>
        <v>410.84748460784584</v>
      </c>
      <c r="F61" s="4">
        <f>IF(+B61&lt;='Terms of loan'!$D$5,+C61-E61,0)</f>
        <v>2993.2994244111169</v>
      </c>
    </row>
    <row r="62" spans="2:6" x14ac:dyDescent="0.2">
      <c r="B62" s="3">
        <v>54</v>
      </c>
      <c r="C62" s="4">
        <f t="shared" si="1"/>
        <v>2993.2994244111169</v>
      </c>
      <c r="D62" s="4">
        <f>IF(+B62&lt;='Terms of loan'!$D$5,+C62*('Terms of loan'!$D$4/12),0)</f>
        <v>29.932994244111171</v>
      </c>
      <c r="E62" s="4">
        <f>IF(+B62&lt;='Terms of loan'!$D$5,'Terms of loan'!$F$4-D62,0)</f>
        <v>414.95595945392432</v>
      </c>
      <c r="F62" s="4">
        <f>IF(+B62&lt;='Terms of loan'!$D$5,+C62-E62,0)</f>
        <v>2578.3434649571927</v>
      </c>
    </row>
    <row r="63" spans="2:6" x14ac:dyDescent="0.2">
      <c r="B63" s="3">
        <v>55</v>
      </c>
      <c r="C63" s="4">
        <f t="shared" si="1"/>
        <v>2578.3434649571927</v>
      </c>
      <c r="D63" s="4">
        <f>IF(+B63&lt;='Terms of loan'!$D$5,+C63*('Terms of loan'!$D$4/12),0)</f>
        <v>25.783434649571927</v>
      </c>
      <c r="E63" s="4">
        <f>IF(+B63&lt;='Terms of loan'!$D$5,'Terms of loan'!$F$4-D63,0)</f>
        <v>419.10551904846358</v>
      </c>
      <c r="F63" s="4">
        <f>IF(+B63&lt;='Terms of loan'!$D$5,+C63-E63,0)</f>
        <v>2159.2379459087292</v>
      </c>
    </row>
    <row r="64" spans="2:6" x14ac:dyDescent="0.2">
      <c r="B64" s="3">
        <v>56</v>
      </c>
      <c r="C64" s="4">
        <f t="shared" si="1"/>
        <v>2159.2379459087292</v>
      </c>
      <c r="D64" s="4">
        <f>IF(+B64&lt;='Terms of loan'!$D$5,+C64*('Terms of loan'!$D$4/12),0)</f>
        <v>21.592379459087294</v>
      </c>
      <c r="E64" s="4">
        <f>IF(+B64&lt;='Terms of loan'!$D$5,'Terms of loan'!$F$4-D64,0)</f>
        <v>423.29657423894821</v>
      </c>
      <c r="F64" s="4">
        <f>IF(+B64&lt;='Terms of loan'!$D$5,+C64-E64,0)</f>
        <v>1735.9413716697809</v>
      </c>
    </row>
    <row r="65" spans="2:6" x14ac:dyDescent="0.2">
      <c r="B65" s="3">
        <v>57</v>
      </c>
      <c r="C65" s="4">
        <f t="shared" si="1"/>
        <v>1735.9413716697809</v>
      </c>
      <c r="D65" s="4">
        <f>IF(+B65&lt;='Terms of loan'!$D$5,+C65*('Terms of loan'!$D$4/12),0)</f>
        <v>17.359413716697809</v>
      </c>
      <c r="E65" s="4">
        <f>IF(+B65&lt;='Terms of loan'!$D$5,'Terms of loan'!$F$4-D65,0)</f>
        <v>427.52953998133768</v>
      </c>
      <c r="F65" s="4">
        <f>IF(+B65&lt;='Terms of loan'!$D$5,+C65-E65,0)</f>
        <v>1308.4118316884433</v>
      </c>
    </row>
    <row r="66" spans="2:6" x14ac:dyDescent="0.2">
      <c r="B66" s="3">
        <v>58</v>
      </c>
      <c r="C66" s="4">
        <f t="shared" si="1"/>
        <v>1308.4118316884433</v>
      </c>
      <c r="D66" s="4">
        <f>IF(+B66&lt;='Terms of loan'!$D$5,+C66*('Terms of loan'!$D$4/12),0)</f>
        <v>13.084118316884433</v>
      </c>
      <c r="E66" s="4">
        <f>IF(+B66&lt;='Terms of loan'!$D$5,'Terms of loan'!$F$4-D66,0)</f>
        <v>431.80483538115107</v>
      </c>
      <c r="F66" s="4">
        <f>IF(+B66&lt;='Terms of loan'!$D$5,+C66-E66,0)</f>
        <v>876.60699630729221</v>
      </c>
    </row>
    <row r="67" spans="2:6" x14ac:dyDescent="0.2">
      <c r="B67" s="3">
        <v>59</v>
      </c>
      <c r="C67" s="4">
        <f t="shared" si="1"/>
        <v>876.60699630729221</v>
      </c>
      <c r="D67" s="4">
        <f>IF(+B67&lt;='Terms of loan'!$D$5,+C67*('Terms of loan'!$D$4/12),0)</f>
        <v>8.7660699630729226</v>
      </c>
      <c r="E67" s="4">
        <f>IF(+B67&lt;='Terms of loan'!$D$5,'Terms of loan'!$F$4-D67,0)</f>
        <v>436.12288373496256</v>
      </c>
      <c r="F67" s="4">
        <f>IF(+B67&lt;='Terms of loan'!$D$5,+C67-E67,0)</f>
        <v>440.48411257232965</v>
      </c>
    </row>
    <row r="68" spans="2:6" ht="13.5" thickBot="1" x14ac:dyDescent="0.25">
      <c r="B68" s="3">
        <v>60</v>
      </c>
      <c r="C68" s="4">
        <f t="shared" si="1"/>
        <v>440.48411257232965</v>
      </c>
      <c r="D68" s="4">
        <f>IF(+B68&lt;='Terms of loan'!$D$5,+C68*('Terms of loan'!$D$4/12),0)</f>
        <v>4.4048411257232969</v>
      </c>
      <c r="E68" s="4">
        <f>IF(+B68&lt;='Terms of loan'!$D$5,'Terms of loan'!$F$4-D68,0)</f>
        <v>440.4841125723122</v>
      </c>
      <c r="F68" s="4">
        <f>IF(+B68&lt;='Terms of loan'!$D$5,+C68-E68,0)</f>
        <v>1.7450929590268061E-11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6693.3372218821378</v>
      </c>
      <c r="E70" s="4">
        <f>SUM(E9:E68)</f>
        <v>19999.999999999989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Terms of loan</vt:lpstr>
      <vt:lpstr>Detail sheet for 5-year loan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1995-08-04T19:29:09Z</dcterms:created>
  <dcterms:modified xsi:type="dcterms:W3CDTF">2026-10-23T05:27:51Z</dcterms:modified>
</cp:coreProperties>
</file>